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GD_jorsaldev\CoderHouse\CarreraAIAutomation\AI_Automation\EntregaFinal_96925\"/>
    </mc:Choice>
  </mc:AlternateContent>
  <xr:revisionPtr revIDLastSave="0" documentId="13_ncr:1_{12608DF0-C4A8-4A7B-8634-A098A60D10EE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upuestos" sheetId="1" r:id="rId1"/>
    <sheet name="Matriz modelos" sheetId="2" r:id="rId2"/>
    <sheet name="Ahorro consolidado" sheetId="4" r:id="rId3"/>
    <sheet name="Justificación" sheetId="5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6" i="2" l="1"/>
  <c r="D5" i="2"/>
  <c r="C5" i="2"/>
  <c r="E5" i="2" s="1"/>
  <c r="E4" i="2"/>
  <c r="E3" i="2"/>
  <c r="D3" i="2"/>
  <c r="C3" i="2"/>
  <c r="E2" i="2"/>
  <c r="G6" i="2" l="1"/>
  <c r="F6" i="2"/>
  <c r="F5" i="2"/>
  <c r="G5" i="2"/>
  <c r="C2" i="4"/>
  <c r="G4" i="2"/>
  <c r="F4" i="2"/>
  <c r="B2" i="4" s="1"/>
  <c r="D2" i="4" s="1"/>
  <c r="C4" i="4"/>
  <c r="F3" i="2"/>
  <c r="G3" i="2"/>
  <c r="C3" i="4"/>
  <c r="F2" i="2"/>
  <c r="G2" i="2"/>
  <c r="E2" i="4" l="1"/>
  <c r="F2" i="4"/>
  <c r="B3" i="4"/>
  <c r="D3" i="4" s="1"/>
  <c r="B4" i="4"/>
  <c r="D4" i="4" s="1"/>
  <c r="E3" i="4" l="1"/>
  <c r="F3" i="4"/>
  <c r="E4" i="4"/>
  <c r="F4" i="4"/>
</calcChain>
</file>

<file path=xl/sharedStrings.xml><?xml version="1.0" encoding="utf-8"?>
<sst xmlns="http://schemas.openxmlformats.org/spreadsheetml/2006/main" count="64" uniqueCount="61">
  <si>
    <t>3. Matriz Comparativa de Costos de IA — Supuestos (celdas amarillas editables)</t>
  </si>
  <si>
    <t>Workflow 7MXK8IqjaeBPQbMK · versionId e7786adb · precios lista OpenAI USD/1M tokens consultados 30/09/2026 — verificar en openai.com/api/pricing</t>
  </si>
  <si>
    <t>Parámetro</t>
  </si>
  <si>
    <t>Valor</t>
  </si>
  <si>
    <t>Justificación</t>
  </si>
  <si>
    <t>Tokens de entrada por email</t>
  </si>
  <si>
    <t>System prompt (~80) + email (~300) + memoria de hasta 10 turnos</t>
  </si>
  <si>
    <t>Tokens de salida por email</t>
  </si>
  <si>
    <t>Respuesta limitada a 250 caracteres (~70 tokens)</t>
  </si>
  <si>
    <t>Emails por mes (tiempo real)</t>
  </si>
  <si>
    <t>~100 por día</t>
  </si>
  <si>
    <t>Registros masivos por mes (batch)</t>
  </si>
  <si>
    <t>Reclasificación histórica mensual</t>
  </si>
  <si>
    <t>Descuento Batch API</t>
  </si>
  <si>
    <t>50% sobre input y output (ventana 24 h)</t>
  </si>
  <si>
    <t>Modelo</t>
  </si>
  <si>
    <t>Batch</t>
  </si>
  <si>
    <t>Input $/1M</t>
  </si>
  <si>
    <t>Output $/1M</t>
  </si>
  <si>
    <t>Costo / email</t>
  </si>
  <si>
    <t>Costo / mes (tiempo real)</t>
  </si>
  <si>
    <t>Relativo vs mini</t>
  </si>
  <si>
    <t>Uso recomendado</t>
  </si>
  <si>
    <t>gpt-4.1-mini (elegido)</t>
  </si>
  <si>
    <t>No</t>
  </si>
  <si>
    <t>Respuestas cortas, clasificación, acuse de recibo</t>
  </si>
  <si>
    <t>gpt-4.1-mini · Batch API</t>
  </si>
  <si>
    <t>Sí</t>
  </si>
  <si>
    <t>Procesos masivos no urgentes (≤ 24 h)</t>
  </si>
  <si>
    <t>gpt-4.1</t>
  </si>
  <si>
    <t>Razonamiento complejo, contratos, reclamos sensibles</t>
  </si>
  <si>
    <t>gpt-4.1 · Batch API</t>
  </si>
  <si>
    <t>Análisis masivo complejo</t>
  </si>
  <si>
    <t>gpt-4.1-nano</t>
  </si>
  <si>
    <t>Ruteo / etiquetado binario (calidad de redacción menor)</t>
  </si>
  <si>
    <t>Escenario</t>
  </si>
  <si>
    <t>Tiempo real / mes</t>
  </si>
  <si>
    <t>Masivo / mes</t>
  </si>
  <si>
    <t>Total / mes</t>
  </si>
  <si>
    <t>Total / año</t>
  </si>
  <si>
    <t>Ahorro vs gpt-4.1</t>
  </si>
  <si>
    <t>Todo con gpt-4.1 síncrono</t>
  </si>
  <si>
    <t>gpt-4.1-mini síncrono en todo</t>
  </si>
  <si>
    <t>Arquitectura propuesta (mini + Batch)</t>
  </si>
  <si>
    <t>Nota: OpenRouter cobra los tokens al precio del proveedor más una comisión al comprar créditos; costos de n8n Cloud, Airtable y Google Workspace no incluidos.</t>
  </si>
  <si>
    <t>3. Matriz Comparativa de Costos de IA</t>
  </si>
  <si>
    <t>Workflow: Entrega Final Ecosistema de Automatización IA Autónomo para Negocios v2 (id 7MXK8IqjaeBPQbMK) · Base Airtable appPVM4XKVBRPqG4q · Versión 2 (corregida) · 30/09/2026 · versionId e7786adb Precios de lista OpenAI (USD / 1M tokens) consultados 30/09/2026 en fuentes públicas; verificar en openai.com/api/pricing y openrouter.ai antes de presupuestar.</t>
  </si>
  <si>
    <t>3.1 Supuestos de carga</t>
  </si>
  <si>
    <t>3.2 Matriz de modelos</t>
  </si>
  <si>
    <t>3.3 Por qué GPT-4.1-mini para tareas simples</t>
  </si>
  <si>
    <t>• Tarea acotada: el agente sólo redacta un acuse de ≤ 250 caracteres; no requiere razonamiento profundo ni herramientas.</t>
  </si>
  <si>
    <t>• Costo 5x menor que gpt-4.1 con calidad de redacción suficiente en español para mensajes cortos.</t>
  </si>
  <si>
    <t>• Baja latencia: el flujo es interactivo (el operador espera el email de aprobación).</t>
  </si>
  <si>
    <t>• Riesgo controlado: toda respuesta pasa por aprobación humana antes de llegar al cliente, lo que compensa cualquier diferencia de calidad frente a un modelo mayor.</t>
  </si>
  <si>
    <t>• Se descarta nano porque ahorra sólo ~$1/mes y degrada la calidad del texto que ve el cliente.</t>
  </si>
  <si>
    <t>3.4 API de Lotes (Batch) para procesos masivos</t>
  </si>
  <si>
    <t>La Batch API de OpenAI procesa solicitudes de forma asíncrona (ventana de hasta 24 h) con 50% de descuento en input y output. No aplica al flujo en tiempo real (el cliente y el operador esperan), pero sí a procesos masivos:</t>
  </si>
  <si>
    <t>Estado de implementación: el workflow actual usa exclusivamente inferencia síncrona vía OpenRouter; la Batch API no está implementada . OpenRouter no expone la Batch API de OpenAI: para usarla se requiere un workflow aparte (Schedule Trigger → Airtable search → generar JSONL → HTTP Request a /v1/files y /v1/batches con credencial OpenAI directa → polling → Airtable update).</t>
  </si>
  <si>
    <t>El modelo quedó fijado explícitamente en el nodo OpenRouter: openai/gpt-4.1-mini (antes dependía del valor por defecto).</t>
  </si>
  <si>
    <t>3.5 Ahorro estimado consolidado (escenario 3.000 emails + 30.000 registros batch / mes)</t>
  </si>
  <si>
    <t>Nota: OpenRouter cobra los tokens al precio del proveedor y aplica una comisión al comprar créditos; costos de n8n Cloud, Airtable y Google Workspace no incluidos. Cifras estimativas según los supuestos de 3.1.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</si>
</sst>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$&quot;#,##0.00000"/>
    <numFmt numFmtId="165" formatCode="&quot;$&quot;#,##0.00"/>
    <numFmt numFmtId="166" formatCode="0.00&quot;x&quot;"/>
  </numFmts>
  <fonts count="4" x14ac:knownFonts="1">
    <font>
      <sz val="11"/>
      <color theme="1"/>
      <name val="Calibri"/>
      <family val="2"/>
      <scheme val="minor"/>
    </font>
    <font>
      <b/>
      <sz val="13"/>
      <name val="Calibri"/>
    </font>
    <font>
      <b/>
      <sz val="11"/>
      <color rgb="FFFFFFFF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2937"/>
      </patternFill>
    </fill>
    <fill>
      <patternFill patternType="solid">
        <fgColor rgb="FFFEF9C3"/>
      </patternFill>
    </fill>
  </fills>
  <borders count="2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0" fillId="3" borderId="1" xfId="0" applyFill="1" applyBorder="1" applyAlignment="1">
      <alignment vertical="top" wrapText="1"/>
    </xf>
    <xf numFmtId="9" fontId="0" fillId="3" borderId="1" xfId="0" applyNumberFormat="1" applyFill="1" applyBorder="1" applyAlignment="1">
      <alignment vertical="top" wrapText="1"/>
    </xf>
    <xf numFmtId="165" fontId="0" fillId="3" borderId="1" xfId="0" applyNumberFormat="1" applyFill="1" applyBorder="1" applyAlignment="1">
      <alignment vertical="top" wrapText="1"/>
    </xf>
    <xf numFmtId="164" fontId="0" fillId="0" borderId="1" xfId="0" applyNumberFormat="1" applyBorder="1" applyAlignment="1">
      <alignment vertical="top" wrapText="1"/>
    </xf>
    <xf numFmtId="165" fontId="0" fillId="0" borderId="1" xfId="0" applyNumberFormat="1" applyBorder="1" applyAlignment="1">
      <alignment vertical="top" wrapText="1"/>
    </xf>
    <xf numFmtId="166" fontId="0" fillId="0" borderId="1" xfId="0" applyNumberFormat="1" applyBorder="1" applyAlignment="1">
      <alignment vertical="top" wrapText="1"/>
    </xf>
    <xf numFmtId="9" fontId="0" fillId="0" borderId="1" xfId="0" applyNumberFormat="1" applyBorder="1" applyAlignment="1">
      <alignment vertical="top" wrapText="1"/>
    </xf>
    <xf numFmtId="0" fontId="1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3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"/>
  <sheetViews>
    <sheetView tabSelected="1" workbookViewId="0">
      <selection activeCell="A4" sqref="A4"/>
    </sheetView>
  </sheetViews>
  <sheetFormatPr baseColWidth="10" defaultColWidth="9.140625" defaultRowHeight="15" x14ac:dyDescent="0.25"/>
  <cols>
    <col min="1" max="1" width="38" customWidth="1"/>
    <col min="2" max="2" width="14" customWidth="1"/>
    <col min="3" max="3" width="70" customWidth="1"/>
  </cols>
  <sheetData>
    <row r="1" spans="1:3" ht="17.25" x14ac:dyDescent="0.3">
      <c r="A1" s="1" t="s">
        <v>0</v>
      </c>
    </row>
    <row r="2" spans="1:3" x14ac:dyDescent="0.25">
      <c r="A2" t="s">
        <v>1</v>
      </c>
    </row>
    <row r="4" spans="1:3" x14ac:dyDescent="0.25">
      <c r="A4" s="2" t="s">
        <v>2</v>
      </c>
      <c r="B4" s="2" t="s">
        <v>3</v>
      </c>
      <c r="C4" s="2" t="s">
        <v>4</v>
      </c>
    </row>
    <row r="5" spans="1:3" x14ac:dyDescent="0.25">
      <c r="A5" s="3" t="s">
        <v>5</v>
      </c>
      <c r="B5" s="4">
        <v>800</v>
      </c>
      <c r="C5" s="3" t="s">
        <v>6</v>
      </c>
    </row>
    <row r="6" spans="1:3" x14ac:dyDescent="0.25">
      <c r="A6" s="3" t="s">
        <v>7</v>
      </c>
      <c r="B6" s="4">
        <v>100</v>
      </c>
      <c r="C6" s="3" t="s">
        <v>8</v>
      </c>
    </row>
    <row r="7" spans="1:3" x14ac:dyDescent="0.25">
      <c r="A7" s="3" t="s">
        <v>9</v>
      </c>
      <c r="B7" s="4">
        <v>3000</v>
      </c>
      <c r="C7" s="3" t="s">
        <v>10</v>
      </c>
    </row>
    <row r="8" spans="1:3" x14ac:dyDescent="0.25">
      <c r="A8" s="3" t="s">
        <v>11</v>
      </c>
      <c r="B8" s="4">
        <v>30000</v>
      </c>
      <c r="C8" s="3" t="s">
        <v>12</v>
      </c>
    </row>
    <row r="9" spans="1:3" x14ac:dyDescent="0.25">
      <c r="A9" s="3" t="s">
        <v>13</v>
      </c>
      <c r="B9" s="5">
        <v>0.5</v>
      </c>
      <c r="C9" s="3" t="s">
        <v>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6"/>
  <sheetViews>
    <sheetView workbookViewId="0"/>
  </sheetViews>
  <sheetFormatPr baseColWidth="10" defaultColWidth="9.140625" defaultRowHeight="15" x14ac:dyDescent="0.25"/>
  <cols>
    <col min="1" max="1" width="28" customWidth="1"/>
    <col min="2" max="2" width="8" customWidth="1"/>
    <col min="3" max="4" width="12" customWidth="1"/>
    <col min="5" max="5" width="14" customWidth="1"/>
    <col min="6" max="6" width="18" customWidth="1"/>
    <col min="7" max="7" width="14" customWidth="1"/>
    <col min="8" max="8" width="55" customWidth="1"/>
  </cols>
  <sheetData>
    <row r="1" spans="1:8" ht="30" x14ac:dyDescent="0.25">
      <c r="A1" s="2" t="s">
        <v>15</v>
      </c>
      <c r="B1" s="2" t="s">
        <v>16</v>
      </c>
      <c r="C1" s="2" t="s">
        <v>17</v>
      </c>
      <c r="D1" s="2" t="s">
        <v>18</v>
      </c>
      <c r="E1" s="2" t="s">
        <v>19</v>
      </c>
      <c r="F1" s="2" t="s">
        <v>20</v>
      </c>
      <c r="G1" s="2" t="s">
        <v>21</v>
      </c>
      <c r="H1" s="2" t="s">
        <v>22</v>
      </c>
    </row>
    <row r="2" spans="1:8" x14ac:dyDescent="0.25">
      <c r="A2" s="3" t="s">
        <v>23</v>
      </c>
      <c r="B2" s="3" t="s">
        <v>24</v>
      </c>
      <c r="C2" s="6">
        <v>0.4</v>
      </c>
      <c r="D2" s="6">
        <v>1.6</v>
      </c>
      <c r="E2" s="7">
        <f>(Supuestos!$B$5*C2+Supuestos!$B$6*D2)/1000000</f>
        <v>4.8000000000000001E-4</v>
      </c>
      <c r="F2" s="8">
        <f>E2*Supuestos!$B$7</f>
        <v>1.44</v>
      </c>
      <c r="G2" s="9">
        <f>E2/$E$2</f>
        <v>1</v>
      </c>
      <c r="H2" s="3" t="s">
        <v>25</v>
      </c>
    </row>
    <row r="3" spans="1:8" x14ac:dyDescent="0.25">
      <c r="A3" s="3" t="s">
        <v>26</v>
      </c>
      <c r="B3" s="3" t="s">
        <v>27</v>
      </c>
      <c r="C3" s="8">
        <f>C2*(1-Supuestos!$B$9)</f>
        <v>0.2</v>
      </c>
      <c r="D3" s="8">
        <f>D2*(1-Supuestos!$B$9)</f>
        <v>0.8</v>
      </c>
      <c r="E3" s="7">
        <f>(Supuestos!$B$5*C3+Supuestos!$B$6*D3)/1000000</f>
        <v>2.4000000000000001E-4</v>
      </c>
      <c r="F3" s="8">
        <f>E3*Supuestos!$B$7</f>
        <v>0.72</v>
      </c>
      <c r="G3" s="9">
        <f>E3/$E$2</f>
        <v>0.5</v>
      </c>
      <c r="H3" s="3" t="s">
        <v>28</v>
      </c>
    </row>
    <row r="4" spans="1:8" x14ac:dyDescent="0.25">
      <c r="A4" s="3" t="s">
        <v>29</v>
      </c>
      <c r="B4" s="3" t="s">
        <v>24</v>
      </c>
      <c r="C4" s="6">
        <v>2</v>
      </c>
      <c r="D4" s="6">
        <v>8</v>
      </c>
      <c r="E4" s="7">
        <f>(Supuestos!$B$5*C4+Supuestos!$B$6*D4)/1000000</f>
        <v>2.3999999999999998E-3</v>
      </c>
      <c r="F4" s="8">
        <f>E4*Supuestos!$B$7</f>
        <v>7.1999999999999993</v>
      </c>
      <c r="G4" s="9">
        <f>E4/$E$2</f>
        <v>4.9999999999999991</v>
      </c>
      <c r="H4" s="3" t="s">
        <v>30</v>
      </c>
    </row>
    <row r="5" spans="1:8" x14ac:dyDescent="0.25">
      <c r="A5" s="3" t="s">
        <v>31</v>
      </c>
      <c r="B5" s="3" t="s">
        <v>27</v>
      </c>
      <c r="C5" s="8">
        <f>C4*(1-Supuestos!$B$9)</f>
        <v>1</v>
      </c>
      <c r="D5" s="8">
        <f>D4*(1-Supuestos!$B$9)</f>
        <v>4</v>
      </c>
      <c r="E5" s="7">
        <f>(Supuestos!$B$5*C5+Supuestos!$B$6*D5)/1000000</f>
        <v>1.1999999999999999E-3</v>
      </c>
      <c r="F5" s="8">
        <f>E5*Supuestos!$B$7</f>
        <v>3.5999999999999996</v>
      </c>
      <c r="G5" s="9">
        <f>E5/$E$2</f>
        <v>2.4999999999999996</v>
      </c>
      <c r="H5" s="3" t="s">
        <v>32</v>
      </c>
    </row>
    <row r="6" spans="1:8" x14ac:dyDescent="0.25">
      <c r="A6" s="3" t="s">
        <v>33</v>
      </c>
      <c r="B6" s="3" t="s">
        <v>24</v>
      </c>
      <c r="C6" s="6">
        <v>0.1</v>
      </c>
      <c r="D6" s="6">
        <v>0.4</v>
      </c>
      <c r="E6" s="7">
        <f>(Supuestos!$B$5*C6+Supuestos!$B$6*D6)/1000000</f>
        <v>1.2E-4</v>
      </c>
      <c r="F6" s="8">
        <f>E6*Supuestos!$B$7</f>
        <v>0.36</v>
      </c>
      <c r="G6" s="9">
        <f>E6/$E$2</f>
        <v>0.25</v>
      </c>
      <c r="H6" s="3" t="s">
        <v>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6"/>
  <sheetViews>
    <sheetView workbookViewId="0">
      <selection activeCell="A14" sqref="A14"/>
    </sheetView>
  </sheetViews>
  <sheetFormatPr baseColWidth="10" defaultColWidth="9.140625" defaultRowHeight="15" x14ac:dyDescent="0.25"/>
  <cols>
    <col min="1" max="1" width="42" customWidth="1"/>
    <col min="2" max="2" width="18" customWidth="1"/>
    <col min="3" max="3" width="16" customWidth="1"/>
    <col min="4" max="5" width="14" customWidth="1"/>
    <col min="6" max="6" width="18" customWidth="1"/>
  </cols>
  <sheetData>
    <row r="1" spans="1:6" x14ac:dyDescent="0.25">
      <c r="A1" s="2" t="s">
        <v>35</v>
      </c>
      <c r="B1" s="2" t="s">
        <v>36</v>
      </c>
      <c r="C1" s="2" t="s">
        <v>37</v>
      </c>
      <c r="D1" s="2" t="s">
        <v>38</v>
      </c>
      <c r="E1" s="2" t="s">
        <v>39</v>
      </c>
      <c r="F1" s="2" t="s">
        <v>40</v>
      </c>
    </row>
    <row r="2" spans="1:6" x14ac:dyDescent="0.25">
      <c r="A2" s="3" t="s">
        <v>41</v>
      </c>
      <c r="B2" s="8">
        <f>'Matriz modelos'!F4</f>
        <v>7.1999999999999993</v>
      </c>
      <c r="C2" s="8">
        <f>Supuestos!B8*'Matriz modelos'!E4</f>
        <v>72</v>
      </c>
      <c r="D2" s="8">
        <f>B2+C2</f>
        <v>79.2</v>
      </c>
      <c r="E2" s="8">
        <f>D2*12</f>
        <v>950.40000000000009</v>
      </c>
      <c r="F2" s="10">
        <f>1-D2/$D$2</f>
        <v>0</v>
      </c>
    </row>
    <row r="3" spans="1:6" x14ac:dyDescent="0.25">
      <c r="A3" s="3" t="s">
        <v>42</v>
      </c>
      <c r="B3" s="8">
        <f>'Matriz modelos'!F2</f>
        <v>1.44</v>
      </c>
      <c r="C3" s="8">
        <f>Supuestos!B8*'Matriz modelos'!E2</f>
        <v>14.4</v>
      </c>
      <c r="D3" s="8">
        <f>B3+C3</f>
        <v>15.84</v>
      </c>
      <c r="E3" s="8">
        <f>D3*12</f>
        <v>190.07999999999998</v>
      </c>
      <c r="F3" s="10">
        <f>1-D3/$D$2</f>
        <v>0.8</v>
      </c>
    </row>
    <row r="4" spans="1:6" x14ac:dyDescent="0.25">
      <c r="A4" s="3" t="s">
        <v>43</v>
      </c>
      <c r="B4" s="8">
        <f>'Matriz modelos'!F2</f>
        <v>1.44</v>
      </c>
      <c r="C4" s="8">
        <f>Supuestos!B8*'Matriz modelos'!E3</f>
        <v>7.2</v>
      </c>
      <c r="D4" s="8">
        <f>B4+C4</f>
        <v>8.64</v>
      </c>
      <c r="E4" s="8">
        <f>D4*12</f>
        <v>103.68</v>
      </c>
      <c r="F4" s="10">
        <f>1-D4/$D$2</f>
        <v>0.89090909090909087</v>
      </c>
    </row>
    <row r="6" spans="1:6" x14ac:dyDescent="0.25">
      <c r="A6" t="s">
        <v>44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16"/>
  <sheetViews>
    <sheetView workbookViewId="0"/>
  </sheetViews>
  <sheetFormatPr baseColWidth="10" defaultColWidth="9.140625" defaultRowHeight="15" x14ac:dyDescent="0.25"/>
  <cols>
    <col min="1" max="1" width="130" customWidth="1"/>
  </cols>
  <sheetData>
    <row r="1" spans="1:1" ht="17.25" x14ac:dyDescent="0.25">
      <c r="A1" s="11" t="s">
        <v>45</v>
      </c>
    </row>
    <row r="2" spans="1:1" ht="45" x14ac:dyDescent="0.25">
      <c r="A2" s="12" t="s">
        <v>46</v>
      </c>
    </row>
    <row r="3" spans="1:1" x14ac:dyDescent="0.25">
      <c r="A3" s="13" t="s">
        <v>47</v>
      </c>
    </row>
    <row r="4" spans="1:1" x14ac:dyDescent="0.25">
      <c r="A4" s="13" t="s">
        <v>48</v>
      </c>
    </row>
    <row r="5" spans="1:1" x14ac:dyDescent="0.25">
      <c r="A5" s="13" t="s">
        <v>49</v>
      </c>
    </row>
    <row r="6" spans="1:1" x14ac:dyDescent="0.25">
      <c r="A6" s="12" t="s">
        <v>50</v>
      </c>
    </row>
    <row r="7" spans="1:1" x14ac:dyDescent="0.25">
      <c r="A7" s="12" t="s">
        <v>51</v>
      </c>
    </row>
    <row r="8" spans="1:1" x14ac:dyDescent="0.25">
      <c r="A8" s="12" t="s">
        <v>52</v>
      </c>
    </row>
    <row r="9" spans="1:1" ht="30" x14ac:dyDescent="0.25">
      <c r="A9" s="12" t="s">
        <v>53</v>
      </c>
    </row>
    <row r="10" spans="1:1" x14ac:dyDescent="0.25">
      <c r="A10" s="12" t="s">
        <v>54</v>
      </c>
    </row>
    <row r="11" spans="1:1" x14ac:dyDescent="0.25">
      <c r="A11" s="13" t="s">
        <v>55</v>
      </c>
    </row>
    <row r="12" spans="1:1" ht="30" x14ac:dyDescent="0.25">
      <c r="A12" s="12" t="s">
        <v>56</v>
      </c>
    </row>
    <row r="13" spans="1:1" ht="45" x14ac:dyDescent="0.25">
      <c r="A13" s="12" t="s">
        <v>57</v>
      </c>
    </row>
    <row r="14" spans="1:1" x14ac:dyDescent="0.25">
      <c r="A14" s="12" t="s">
        <v>58</v>
      </c>
    </row>
    <row r="15" spans="1:1" x14ac:dyDescent="0.25">
      <c r="A15" s="13" t="s">
        <v>59</v>
      </c>
    </row>
    <row r="16" spans="1:1" ht="30" x14ac:dyDescent="0.25">
      <c r="A16" s="12" t="s">
        <v>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Supuestos</vt:lpstr>
      <vt:lpstr>Matriz modelos</vt:lpstr>
      <vt:lpstr>Ahorro consolidado</vt:lpstr>
      <vt:lpstr>Justificación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JORGE LUIS SALINAS</dc:creator>
  <cp:lastModifiedBy>JORGE LUIS SALINAS</cp:lastModifiedBy>
  <dcterms:created xsi:type="dcterms:W3CDTF">2026-09-30T11:25:51Z</dcterms:created>
  <dcterms:modified xsi:type="dcterms:W3CDTF">2026-10-02T14:37:51Z</dcterms:modified>
</cp:coreProperties>
</file>